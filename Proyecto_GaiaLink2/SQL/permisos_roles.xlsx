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A42C780-1C81-447D-9E95-88EACC7426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misos" sheetId="1" r:id="rId1"/>
  </sheets>
  <definedNames>
    <definedName name="_xlnm._FilterDatabase" localSheetId="0" hidden="1">Permisos!$B$2:$N$2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4" i="1" l="1"/>
  <c r="O10" i="1"/>
  <c r="O11" i="1"/>
  <c r="O12" i="1"/>
  <c r="O9" i="1"/>
  <c r="C10" i="1"/>
  <c r="D10" i="1"/>
  <c r="E10" i="1"/>
  <c r="F10" i="1"/>
  <c r="G10" i="1"/>
  <c r="H10" i="1"/>
  <c r="I10" i="1"/>
  <c r="J10" i="1"/>
  <c r="K10" i="1"/>
  <c r="L10" i="1"/>
  <c r="M10" i="1"/>
  <c r="N10" i="1"/>
  <c r="C11" i="1"/>
  <c r="D11" i="1"/>
  <c r="E11" i="1"/>
  <c r="F11" i="1"/>
  <c r="G11" i="1"/>
  <c r="H11" i="1"/>
  <c r="I11" i="1"/>
  <c r="J11" i="1"/>
  <c r="K11" i="1"/>
  <c r="L11" i="1"/>
  <c r="M11" i="1"/>
  <c r="N11" i="1"/>
  <c r="C12" i="1"/>
  <c r="D12" i="1"/>
  <c r="E12" i="1"/>
  <c r="F12" i="1"/>
  <c r="G12" i="1"/>
  <c r="H12" i="1"/>
  <c r="I12" i="1"/>
  <c r="J12" i="1"/>
  <c r="K12" i="1"/>
  <c r="L12" i="1"/>
  <c r="M12" i="1"/>
  <c r="N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 s="1"/>
  <c r="O15" i="1" s="1"/>
  <c r="C14" i="1"/>
  <c r="D14" i="1"/>
  <c r="E14" i="1"/>
  <c r="F14" i="1"/>
  <c r="G14" i="1"/>
  <c r="H14" i="1"/>
  <c r="I14" i="1"/>
  <c r="J14" i="1"/>
  <c r="K14" i="1"/>
  <c r="L14" i="1"/>
  <c r="M14" i="1"/>
  <c r="N14" i="1"/>
  <c r="N9" i="1"/>
  <c r="D9" i="1"/>
  <c r="E9" i="1"/>
  <c r="F9" i="1"/>
  <c r="G9" i="1"/>
  <c r="H9" i="1"/>
  <c r="I9" i="1"/>
  <c r="J9" i="1"/>
  <c r="K9" i="1"/>
  <c r="L9" i="1"/>
  <c r="M9" i="1"/>
  <c r="C9" i="1"/>
</calcChain>
</file>

<file path=xl/sharedStrings.xml><?xml version="1.0" encoding="utf-8"?>
<sst xmlns="http://schemas.openxmlformats.org/spreadsheetml/2006/main" count="93" uniqueCount="22">
  <si>
    <t>Rol</t>
  </si>
  <si>
    <t>caso_crear</t>
  </si>
  <si>
    <t>caso_ver</t>
  </si>
  <si>
    <t>caso_editar</t>
  </si>
  <si>
    <t>caso_eliminar</t>
  </si>
  <si>
    <t>caso_ver_propio</t>
  </si>
  <si>
    <t>caso_relacionar</t>
  </si>
  <si>
    <t>caso_desrelacionar</t>
  </si>
  <si>
    <t>caso_modificar_estado</t>
  </si>
  <si>
    <t>caso_modificar_direccion</t>
  </si>
  <si>
    <t>caso_asignar_usuario</t>
  </si>
  <si>
    <t>caso_ver_linea_tiempo</t>
  </si>
  <si>
    <t>caso_comentar</t>
  </si>
  <si>
    <t>Administrador</t>
  </si>
  <si>
    <t>Lider</t>
  </si>
  <si>
    <t>Analista</t>
  </si>
  <si>
    <t>Auxiliar</t>
  </si>
  <si>
    <t>Revisor</t>
  </si>
  <si>
    <t>Usuario</t>
  </si>
  <si>
    <t>SI</t>
  </si>
  <si>
    <t>NO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</si>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</sst>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topLeftCell="C1" workbookViewId="0">
      <selection activeCell="D7" sqref="D7:N7"/>
    </sheetView>
  </sheetViews>
  <sheetFormatPr baseColWidth="10" defaultColWidth="9.140625" defaultRowHeight="15" x14ac:dyDescent="0.25"/>
  <cols>
    <col min="2" max="2" width="13.7109375" bestFit="1" customWidth="1"/>
    <col min="3" max="3" width="14.85546875" bestFit="1" customWidth="1"/>
    <col min="4" max="4" width="13.28515625" bestFit="1" customWidth="1"/>
    <col min="5" max="5" width="15.7109375" bestFit="1" customWidth="1"/>
    <col min="6" max="6" width="17.85546875" bestFit="1" customWidth="1"/>
    <col min="7" max="7" width="20.140625" bestFit="1" customWidth="1"/>
    <col min="8" max="8" width="19.28515625" bestFit="1" customWidth="1"/>
    <col min="9" max="9" width="22.5703125" bestFit="1" customWidth="1"/>
    <col min="10" max="10" width="26.140625" bestFit="1" customWidth="1"/>
    <col min="11" max="11" width="28.28515625" bestFit="1" customWidth="1"/>
    <col min="12" max="12" width="24.42578125" bestFit="1" customWidth="1"/>
    <col min="13" max="13" width="26.42578125" bestFit="1" customWidth="1"/>
    <col min="14" max="14" width="18.85546875" bestFit="1" customWidth="1"/>
    <col min="15" max="15" width="9.5703125" customWidth="1"/>
  </cols>
  <sheetData>
    <row r="1" spans="1:15" x14ac:dyDescent="0.25">
      <c r="A1" s="4"/>
      <c r="B1" s="5" t="s">
        <v>21</v>
      </c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7">
        <v>11</v>
      </c>
      <c r="N1" s="6">
        <v>12</v>
      </c>
    </row>
    <row r="2" spans="1:15" x14ac:dyDescent="0.25">
      <c r="A2" s="5" t="s">
        <v>21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</row>
    <row r="3" spans="1:15" x14ac:dyDescent="0.25">
      <c r="A3" s="8">
        <v>1</v>
      </c>
      <c r="B3" s="9" t="s">
        <v>13</v>
      </c>
      <c r="C3" s="2" t="s">
        <v>19</v>
      </c>
      <c r="D3" s="2" t="s">
        <v>19</v>
      </c>
      <c r="E3" s="2" t="s">
        <v>19</v>
      </c>
      <c r="F3" s="2" t="s">
        <v>19</v>
      </c>
      <c r="G3" s="3" t="s">
        <v>20</v>
      </c>
      <c r="H3" s="2" t="s">
        <v>19</v>
      </c>
      <c r="I3" s="2" t="s">
        <v>19</v>
      </c>
      <c r="J3" s="2" t="s">
        <v>19</v>
      </c>
      <c r="K3" s="2" t="s">
        <v>19</v>
      </c>
      <c r="L3" s="2" t="s">
        <v>19</v>
      </c>
      <c r="M3" s="2" t="s">
        <v>19</v>
      </c>
      <c r="N3" s="2" t="s">
        <v>19</v>
      </c>
    </row>
    <row r="4" spans="1:15" x14ac:dyDescent="0.25">
      <c r="A4" s="8">
        <v>2</v>
      </c>
      <c r="B4" s="4" t="s">
        <v>14</v>
      </c>
      <c r="C4" s="2" t="s">
        <v>19</v>
      </c>
      <c r="D4" s="2" t="s">
        <v>19</v>
      </c>
      <c r="E4" s="2" t="s">
        <v>19</v>
      </c>
      <c r="F4" s="2" t="s">
        <v>19</v>
      </c>
      <c r="G4" s="3" t="s">
        <v>20</v>
      </c>
      <c r="H4" s="2" t="s">
        <v>19</v>
      </c>
      <c r="I4" s="2" t="s">
        <v>19</v>
      </c>
      <c r="J4" s="2" t="s">
        <v>19</v>
      </c>
      <c r="K4" s="3" t="s">
        <v>20</v>
      </c>
      <c r="L4" s="2" t="s">
        <v>19</v>
      </c>
      <c r="M4" s="2" t="s">
        <v>19</v>
      </c>
      <c r="N4" s="2" t="s">
        <v>19</v>
      </c>
    </row>
    <row r="5" spans="1:15" x14ac:dyDescent="0.25">
      <c r="A5" s="8">
        <v>3</v>
      </c>
      <c r="B5" s="4" t="s">
        <v>15</v>
      </c>
      <c r="C5" s="2" t="s">
        <v>19</v>
      </c>
      <c r="D5" s="2" t="s">
        <v>19</v>
      </c>
      <c r="E5" s="2" t="s">
        <v>19</v>
      </c>
      <c r="F5" s="3" t="s">
        <v>20</v>
      </c>
      <c r="G5" s="3" t="s">
        <v>20</v>
      </c>
      <c r="H5" s="2" t="s">
        <v>19</v>
      </c>
      <c r="I5" s="2" t="s">
        <v>19</v>
      </c>
      <c r="J5" s="2" t="s">
        <v>19</v>
      </c>
      <c r="K5" s="3" t="s">
        <v>20</v>
      </c>
      <c r="L5" s="2" t="s">
        <v>19</v>
      </c>
      <c r="M5" s="2" t="s">
        <v>19</v>
      </c>
      <c r="N5" s="2" t="s">
        <v>19</v>
      </c>
    </row>
    <row r="6" spans="1:15" x14ac:dyDescent="0.25">
      <c r="A6" s="8">
        <v>4</v>
      </c>
      <c r="B6" s="4" t="s">
        <v>16</v>
      </c>
      <c r="C6" s="2" t="s">
        <v>19</v>
      </c>
      <c r="D6" s="2" t="s">
        <v>19</v>
      </c>
      <c r="E6" s="2" t="s">
        <v>19</v>
      </c>
      <c r="F6" s="3" t="s">
        <v>20</v>
      </c>
      <c r="G6" s="3" t="s">
        <v>20</v>
      </c>
      <c r="H6" s="2" t="s">
        <v>19</v>
      </c>
      <c r="I6" s="2" t="s">
        <v>19</v>
      </c>
      <c r="J6" s="3" t="s">
        <v>20</v>
      </c>
      <c r="K6" s="3" t="s">
        <v>20</v>
      </c>
      <c r="L6" s="3" t="s">
        <v>20</v>
      </c>
      <c r="M6" s="2" t="s">
        <v>19</v>
      </c>
      <c r="N6" s="2" t="s">
        <v>19</v>
      </c>
    </row>
    <row r="7" spans="1:15" x14ac:dyDescent="0.25">
      <c r="A7" s="8">
        <v>5</v>
      </c>
      <c r="B7" s="10" t="s">
        <v>17</v>
      </c>
      <c r="C7" s="3" t="s">
        <v>20</v>
      </c>
      <c r="D7" s="2" t="s">
        <v>19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2" t="s">
        <v>19</v>
      </c>
      <c r="N7" s="3" t="s">
        <v>20</v>
      </c>
    </row>
    <row r="8" spans="1:15" x14ac:dyDescent="0.25">
      <c r="A8" s="8">
        <v>6</v>
      </c>
      <c r="B8" s="10" t="s">
        <v>18</v>
      </c>
      <c r="C8" s="2" t="s">
        <v>19</v>
      </c>
      <c r="D8" s="3" t="s">
        <v>20</v>
      </c>
      <c r="E8" s="3" t="s">
        <v>20</v>
      </c>
      <c r="F8" s="3" t="s">
        <v>20</v>
      </c>
      <c r="G8" s="2" t="s">
        <v>19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3" t="s">
        <v>20</v>
      </c>
      <c r="N8" s="3" t="s">
        <v>20</v>
      </c>
    </row>
    <row r="9" spans="1:15" x14ac:dyDescent="0.25">
      <c r="C9" t="str">
        <f>IF(C3="SI","("&amp;$A3&amp;","&amp;C$1&amp;"),","")</f>
        <v>(1,1),</v>
      </c>
      <c r="D9" t="str">
        <f t="shared" ref="D9:M9" si="0">IF(D3="SI","("&amp;$A3&amp;","&amp;D$1&amp;"),","")</f>
        <v>(1,2),</v>
      </c>
      <c r="E9" t="str">
        <f t="shared" si="0"/>
        <v>(1,3),</v>
      </c>
      <c r="F9" t="str">
        <f t="shared" si="0"/>
        <v>(1,4),</v>
      </c>
      <c r="G9" t="str">
        <f t="shared" si="0"/>
        <v/>
      </c>
      <c r="H9" t="str">
        <f t="shared" si="0"/>
        <v>(1,6),</v>
      </c>
      <c r="I9" t="str">
        <f t="shared" si="0"/>
        <v>(1,7),</v>
      </c>
      <c r="J9" t="str">
        <f t="shared" si="0"/>
        <v>(1,8),</v>
      </c>
      <c r="K9" t="str">
        <f t="shared" si="0"/>
        <v>(1,9),</v>
      </c>
      <c r="L9" t="str">
        <f t="shared" si="0"/>
        <v>(1,10),</v>
      </c>
      <c r="M9" t="str">
        <f t="shared" si="0"/>
        <v>(1,11),</v>
      </c>
      <c r="N9" t="str">
        <f>IF(N3="SI","("&amp;$A3&amp;","&amp;N$1&amp;"),","")</f>
        <v>(1,12),</v>
      </c>
      <c r="O9" t="str">
        <f>C9&amp;D9&amp;E9&amp;F9&amp;G9&amp;H9&amp;I9&amp;J9&amp;K9&amp;L9&amp;M9&amp;N9</f>
        <v>(1,1),(1,2),(1,3),(1,4),(1,6),(1,7),(1,8),(1,9),(1,10),(1,11),(1,12),</v>
      </c>
    </row>
    <row r="10" spans="1:15" x14ac:dyDescent="0.25">
      <c r="C10" t="str">
        <f t="shared" ref="C10:N10" si="1">IF(C4="SI","("&amp;$A4&amp;","&amp;C$1&amp;"),","")</f>
        <v>(2,1),</v>
      </c>
      <c r="D10" t="str">
        <f t="shared" si="1"/>
        <v>(2,2),</v>
      </c>
      <c r="E10" t="str">
        <f t="shared" si="1"/>
        <v>(2,3),</v>
      </c>
      <c r="F10" t="str">
        <f t="shared" si="1"/>
        <v>(2,4),</v>
      </c>
      <c r="G10" t="str">
        <f t="shared" si="1"/>
        <v/>
      </c>
      <c r="H10" t="str">
        <f t="shared" si="1"/>
        <v>(2,6),</v>
      </c>
      <c r="I10" t="str">
        <f t="shared" si="1"/>
        <v>(2,7),</v>
      </c>
      <c r="J10" t="str">
        <f t="shared" si="1"/>
        <v>(2,8),</v>
      </c>
      <c r="K10" t="str">
        <f t="shared" si="1"/>
        <v/>
      </c>
      <c r="L10" t="str">
        <f t="shared" si="1"/>
        <v>(2,10),</v>
      </c>
      <c r="M10" t="str">
        <f t="shared" si="1"/>
        <v>(2,11),</v>
      </c>
      <c r="N10" t="str">
        <f t="shared" si="1"/>
        <v>(2,12),</v>
      </c>
      <c r="O10" t="str">
        <f t="shared" ref="O10:O14" si="2">C10&amp;D10&amp;E10&amp;F10&amp;G10&amp;H10&amp;I10&amp;J10&amp;K10&amp;L10&amp;M10&amp;N10</f>
        <v>(2,1),(2,2),(2,3),(2,4),(2,6),(2,7),(2,8),(2,10),(2,11),(2,12),</v>
      </c>
    </row>
    <row r="11" spans="1:15" x14ac:dyDescent="0.25">
      <c r="C11" t="str">
        <f t="shared" ref="C11:N11" si="3">IF(C5="SI","("&amp;$A5&amp;","&amp;C$1&amp;"),","")</f>
        <v>(3,1),</v>
      </c>
      <c r="D11" t="str">
        <f t="shared" si="3"/>
        <v>(3,2),</v>
      </c>
      <c r="E11" t="str">
        <f t="shared" si="3"/>
        <v>(3,3),</v>
      </c>
      <c r="F11" t="str">
        <f t="shared" si="3"/>
        <v/>
      </c>
      <c r="G11" t="str">
        <f t="shared" si="3"/>
        <v/>
      </c>
      <c r="H11" t="str">
        <f t="shared" si="3"/>
        <v>(3,6),</v>
      </c>
      <c r="I11" t="str">
        <f t="shared" si="3"/>
        <v>(3,7),</v>
      </c>
      <c r="J11" t="str">
        <f t="shared" si="3"/>
        <v>(3,8),</v>
      </c>
      <c r="K11" t="str">
        <f t="shared" si="3"/>
        <v/>
      </c>
      <c r="L11" t="str">
        <f t="shared" si="3"/>
        <v>(3,10),</v>
      </c>
      <c r="M11" t="str">
        <f t="shared" si="3"/>
        <v>(3,11),</v>
      </c>
      <c r="N11" t="str">
        <f t="shared" si="3"/>
        <v>(3,12),</v>
      </c>
      <c r="O11" t="str">
        <f t="shared" si="2"/>
        <v>(3,1),(3,2),(3,3),(3,6),(3,7),(3,8),(3,10),(3,11),(3,12),</v>
      </c>
    </row>
    <row r="12" spans="1:15" x14ac:dyDescent="0.25">
      <c r="C12" t="str">
        <f t="shared" ref="C12:N12" si="4">IF(C6="SI","("&amp;$A6&amp;","&amp;C$1&amp;"),","")</f>
        <v>(4,1),</v>
      </c>
      <c r="D12" t="str">
        <f t="shared" si="4"/>
        <v>(4,2),</v>
      </c>
      <c r="E12" t="str">
        <f t="shared" si="4"/>
        <v>(4,3),</v>
      </c>
      <c r="F12" t="str">
        <f t="shared" si="4"/>
        <v/>
      </c>
      <c r="G12" t="str">
        <f t="shared" si="4"/>
        <v/>
      </c>
      <c r="H12" t="str">
        <f t="shared" si="4"/>
        <v>(4,6),</v>
      </c>
      <c r="I12" t="str">
        <f t="shared" si="4"/>
        <v>(4,7),</v>
      </c>
      <c r="J12" t="str">
        <f t="shared" si="4"/>
        <v/>
      </c>
      <c r="K12" t="str">
        <f t="shared" si="4"/>
        <v/>
      </c>
      <c r="L12" t="str">
        <f t="shared" si="4"/>
        <v/>
      </c>
      <c r="M12" t="str">
        <f t="shared" si="4"/>
        <v>(4,11),</v>
      </c>
      <c r="N12" t="str">
        <f t="shared" si="4"/>
        <v>(4,12),</v>
      </c>
      <c r="O12" t="str">
        <f t="shared" si="2"/>
        <v>(4,1),(4,2),(4,3),(4,6),(4,7),(4,11),(4,12),</v>
      </c>
    </row>
    <row r="13" spans="1:15" x14ac:dyDescent="0.25">
      <c r="C13" t="str">
        <f t="shared" ref="C13:N13" si="5">IF(C7="SI","("&amp;$A7&amp;","&amp;C$1&amp;"),","")</f>
        <v/>
      </c>
      <c r="D13" t="str">
        <f t="shared" si="5"/>
        <v>(5,2),</v>
      </c>
      <c r="E13" t="str">
        <f t="shared" si="5"/>
        <v/>
      </c>
      <c r="F13" t="str">
        <f t="shared" si="5"/>
        <v/>
      </c>
      <c r="G13" t="str">
        <f t="shared" si="5"/>
        <v/>
      </c>
      <c r="H13" t="str">
        <f t="shared" si="5"/>
        <v/>
      </c>
      <c r="I13" t="str">
        <f t="shared" si="5"/>
        <v/>
      </c>
      <c r="J13" t="str">
        <f t="shared" si="5"/>
        <v/>
      </c>
      <c r="K13" t="str">
        <f t="shared" si="5"/>
        <v/>
      </c>
      <c r="L13" t="str">
        <f t="shared" si="5"/>
        <v/>
      </c>
      <c r="M13" t="str">
        <f t="shared" si="5"/>
        <v>(5,11),</v>
      </c>
      <c r="N13" t="str">
        <f t="shared" si="5"/>
        <v/>
      </c>
      <c r="O13" t="str">
        <f t="shared" si="2"/>
        <v>(5,2),(5,11),</v>
      </c>
    </row>
    <row r="14" spans="1:15" x14ac:dyDescent="0.25">
      <c r="C14" t="str">
        <f t="shared" ref="C14:N14" si="6">IF(C8="SI","("&amp;$A8&amp;","&amp;C$1&amp;"),","")</f>
        <v>(6,1),</v>
      </c>
      <c r="D14" t="str">
        <f t="shared" si="6"/>
        <v/>
      </c>
      <c r="E14" t="str">
        <f t="shared" si="6"/>
        <v/>
      </c>
      <c r="F14" t="str">
        <f t="shared" si="6"/>
        <v/>
      </c>
      <c r="G14" t="str">
        <f t="shared" si="6"/>
        <v>(6,5),</v>
      </c>
      <c r="H14" t="str">
        <f t="shared" si="6"/>
        <v/>
      </c>
      <c r="I14" t="str">
        <f t="shared" si="6"/>
        <v/>
      </c>
      <c r="J14" t="str">
        <f t="shared" si="6"/>
        <v/>
      </c>
      <c r="K14" t="str">
        <f t="shared" si="6"/>
        <v/>
      </c>
      <c r="L14" t="str">
        <f t="shared" si="6"/>
        <v/>
      </c>
      <c r="M14" t="str">
        <f t="shared" si="6"/>
        <v/>
      </c>
      <c r="N14" t="str">
        <f t="shared" si="6"/>
        <v/>
      </c>
      <c r="O14" t="str">
        <f t="shared" si="2"/>
        <v>(6,1),(6,5),</v>
      </c>
    </row>
    <row r="15" spans="1:15" x14ac:dyDescent="0.25">
      <c r="O15" t="str">
        <f>O9&amp;O10&amp;O11&amp;O12&amp;O13&amp;O14</f>
        <v>(1,1),(1,2),(1,3),(1,4),(1,6),(1,7),(1,8),(1,9),(1,10),(1,11),(1,12),(2,1),(2,2),(2,3),(2,4),(2,6),(2,7),(2,8),(2,10),(2,11),(2,12),(3,1),(3,2),(3,3),(3,6),(3,7),(3,8),(3,10),(3,11),(3,12),(4,1),(4,2),(4,3),(4,6),(4,7),(4,11),(4,12),(5,2),(5,11),(6,1),(6,5),</v>
      </c>
    </row>
    <row r="18" spans="3:14" x14ac:dyDescent="0.2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autoFilter ref="B2:N2" xr:uid="{00000000-0001-0000-0000-000000000000}"/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Permisos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Anzola</cp:lastModifiedBy>
  <dcterms:created xsi:type="dcterms:W3CDTF">2026-03-26T02:11:51Z</dcterms:created>
  <dcterms:modified xsi:type="dcterms:W3CDTF">2026-03-26T21:39:40Z</dcterms:modified>
</cp:coreProperties>
</file>