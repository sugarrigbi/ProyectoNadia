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89D8A48-34BB-453F-96E9-42EDCDB1304F}" xr6:coauthVersionLast="47" xr6:coauthVersionMax="47" xr10:uidLastSave="{00000000-0000-0000-0000-000000000000}"/>
  <bookViews>
    <workbookView xWindow="-120" yWindow="-120" windowWidth="29040" windowHeight="15720" xr2:uid="{909FEAEE-BD5E-4910-8214-CC27C26F70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1" l="1"/>
  <c r="J17" i="1"/>
  <c r="J15" i="1"/>
  <c r="J13" i="1"/>
  <c r="J11" i="1"/>
  <c r="J9" i="1"/>
  <c r="J7" i="1"/>
  <c r="J5" i="1"/>
  <c r="C17" i="1"/>
  <c r="D17" i="1"/>
  <c r="E17" i="1"/>
  <c r="F17" i="1"/>
  <c r="G17" i="1"/>
  <c r="H17" i="1"/>
  <c r="I17" i="1"/>
  <c r="B17" i="1"/>
  <c r="C15" i="1"/>
  <c r="D15" i="1"/>
  <c r="E15" i="1"/>
  <c r="F15" i="1"/>
  <c r="G15" i="1"/>
  <c r="H15" i="1"/>
  <c r="I15" i="1"/>
  <c r="B15" i="1"/>
  <c r="C13" i="1"/>
  <c r="D13" i="1"/>
  <c r="E13" i="1"/>
  <c r="F13" i="1"/>
  <c r="G13" i="1"/>
  <c r="H13" i="1"/>
  <c r="I13" i="1"/>
  <c r="B13" i="1"/>
  <c r="I11" i="1"/>
  <c r="C11" i="1"/>
  <c r="D11" i="1"/>
  <c r="E11" i="1"/>
  <c r="F11" i="1"/>
  <c r="G11" i="1"/>
  <c r="H11" i="1"/>
  <c r="B11" i="1"/>
  <c r="C9" i="1"/>
  <c r="D9" i="1"/>
  <c r="E9" i="1"/>
  <c r="F9" i="1"/>
  <c r="G9" i="1"/>
  <c r="H9" i="1"/>
  <c r="I9" i="1"/>
  <c r="B9" i="1"/>
  <c r="I7" i="1"/>
  <c r="C7" i="1"/>
  <c r="D7" i="1"/>
  <c r="E7" i="1"/>
  <c r="F7" i="1"/>
  <c r="G7" i="1"/>
  <c r="H7" i="1"/>
  <c r="B7" i="1"/>
  <c r="B5" i="1"/>
  <c r="C5" i="1"/>
  <c r="D5" i="1"/>
  <c r="E5" i="1"/>
  <c r="F5" i="1"/>
  <c r="G5" i="1"/>
  <c r="H5" i="1"/>
  <c r="I5" i="1"/>
</calcChain>
</file>

<file path=xl/sharedStrings.xml><?xml version="1.0" encoding="utf-8"?>
<sst xmlns="http://schemas.openxmlformats.org/spreadsheetml/2006/main" count="29" uniqueCount="19">
  <si>
    <t>MATERIAS</t>
  </si>
  <si>
    <t>Configuracion Sistemas</t>
  </si>
  <si>
    <t>Programacion Estructurada</t>
  </si>
  <si>
    <t>Pensamiento Logico II</t>
  </si>
  <si>
    <t>Metodologia Investigacion</t>
  </si>
  <si>
    <t>Introduccion al calculo</t>
  </si>
  <si>
    <t>Fundamentos de Redes</t>
  </si>
  <si>
    <t>PRIMER CORTE</t>
  </si>
  <si>
    <t>SEGUNDO CORTE</t>
  </si>
  <si>
    <t>1 NOTA</t>
  </si>
  <si>
    <t>2 NOTA</t>
  </si>
  <si>
    <t>3 NOTA</t>
  </si>
  <si>
    <t>PARCIAL</t>
  </si>
  <si>
    <t>PORCENTAJE</t>
  </si>
  <si>
    <t>NOTA</t>
  </si>
  <si>
    <t>FINAL</t>
  </si>
  <si>
    <t>PONDERADO</t>
  </si>
  <si>
    <t>Ingles II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</si>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</sst>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0.79998168889431442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20">
    <xf numFmtId="0" fontId="0" fillId="0" borderId="0" xfId="0"/>
    <xf numFmtId="0" fontId="0" fillId="9" borderId="2" xfId="0" applyFill="1" applyBorder="1" applyAlignment="1">
      <alignment horizontal="center"/>
    </xf>
    <xf numFmtId="9" fontId="1" fillId="2" borderId="2" xfId="1" applyNumberFormat="1" applyBorder="1" applyAlignment="1">
      <alignment horizontal="center"/>
    </xf>
    <xf numFmtId="9" fontId="2" fillId="3" borderId="2" xfId="2" applyNumberFormat="1" applyBorder="1" applyAlignment="1">
      <alignment horizontal="center"/>
    </xf>
    <xf numFmtId="0" fontId="0" fillId="10" borderId="2" xfId="0" applyFill="1" applyBorder="1" applyAlignment="1">
      <alignment horizontal="center"/>
    </xf>
    <xf numFmtId="9" fontId="0" fillId="5" borderId="2" xfId="0" applyNumberFormat="1" applyFill="1" applyBorder="1" applyAlignment="1">
      <alignment horizontal="center"/>
    </xf>
    <xf numFmtId="9" fontId="0" fillId="8" borderId="2" xfId="0" applyNumberForma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9" fontId="0" fillId="7" borderId="2" xfId="0" applyNumberFormat="1" applyFill="1" applyBorder="1" applyAlignment="1">
      <alignment horizontal="center"/>
    </xf>
    <xf numFmtId="9" fontId="0" fillId="6" borderId="2" xfId="0" applyNumberFormat="1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2" xfId="0" applyFill="1" applyBorder="1"/>
    <xf numFmtId="0" fontId="0" fillId="13" borderId="2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5" fillId="14" borderId="2" xfId="0" applyFont="1" applyFill="1" applyBorder="1" applyAlignment="1">
      <alignment horizontal="center"/>
    </xf>
    <xf numFmtId="0" fontId="0" fillId="6" borderId="2" xfId="0" applyFill="1" applyBorder="1"/>
    <xf numFmtId="0" fontId="0" fillId="15" borderId="2" xfId="0" applyFill="1" applyBorder="1" applyAlignment="1">
      <alignment horizontal="center"/>
    </xf>
    <xf numFmtId="0" fontId="3" fillId="4" borderId="1" xfId="3"/>
    <xf numFmtId="0" fontId="6" fillId="7" borderId="0" xfId="0" applyFont="1" applyFill="1" applyAlignment="1"/>
  </cellXfs>
  <cellStyles count="4">
    <cellStyle name="Bueno" xfId="1" builtinId="26"/>
    <cellStyle name="Celda de comprobación" xfId="3" builtinId="23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24859-ACE0-4441-A831-D962125EB23C}">
  <dimension ref="A1:J1048576"/>
  <sheetViews>
    <sheetView tabSelected="1" workbookViewId="0">
      <selection activeCell="J18" sqref="J18"/>
    </sheetView>
  </sheetViews>
  <sheetFormatPr baseColWidth="10" defaultRowHeight="15" x14ac:dyDescent="0.25"/>
  <cols>
    <col min="1" max="1" width="24.42578125" customWidth="1"/>
    <col min="10" max="10" width="13.42578125" customWidth="1"/>
  </cols>
  <sheetData>
    <row r="1" spans="1:10" x14ac:dyDescent="0.25">
      <c r="A1" s="1" t="s">
        <v>0</v>
      </c>
      <c r="B1" s="2" t="s">
        <v>7</v>
      </c>
      <c r="C1" s="2"/>
      <c r="D1" s="2"/>
      <c r="E1" s="2"/>
      <c r="F1" s="3" t="s">
        <v>8</v>
      </c>
      <c r="G1" s="3"/>
      <c r="H1" s="3"/>
      <c r="I1" s="3"/>
      <c r="J1" s="15" t="s">
        <v>15</v>
      </c>
    </row>
    <row r="2" spans="1:10" x14ac:dyDescent="0.25">
      <c r="A2" s="4" t="s">
        <v>14</v>
      </c>
      <c r="B2" s="5" t="s">
        <v>9</v>
      </c>
      <c r="C2" s="5" t="s">
        <v>10</v>
      </c>
      <c r="D2" s="5" t="s">
        <v>11</v>
      </c>
      <c r="E2" s="6" t="s">
        <v>12</v>
      </c>
      <c r="F2" s="5" t="s">
        <v>9</v>
      </c>
      <c r="G2" s="5" t="s">
        <v>10</v>
      </c>
      <c r="H2" s="5" t="s">
        <v>11</v>
      </c>
      <c r="I2" s="6" t="s">
        <v>12</v>
      </c>
      <c r="J2" s="16"/>
    </row>
    <row r="3" spans="1:10" ht="15.75" thickBot="1" x14ac:dyDescent="0.3">
      <c r="A3" s="7" t="s">
        <v>13</v>
      </c>
      <c r="B3" s="8">
        <v>0.1</v>
      </c>
      <c r="C3" s="8">
        <v>0.1</v>
      </c>
      <c r="D3" s="8">
        <v>0.1</v>
      </c>
      <c r="E3" s="9">
        <v>0.2</v>
      </c>
      <c r="F3" s="8">
        <v>0.1</v>
      </c>
      <c r="G3" s="8">
        <v>0.1</v>
      </c>
      <c r="H3" s="8">
        <v>0.1</v>
      </c>
      <c r="I3" s="9">
        <v>0.2</v>
      </c>
      <c r="J3" s="16"/>
    </row>
    <row r="4" spans="1:10" ht="16.5" thickTop="1" thickBot="1" x14ac:dyDescent="0.3">
      <c r="A4" s="10" t="s">
        <v>1</v>
      </c>
      <c r="B4" s="10">
        <v>4.3</v>
      </c>
      <c r="C4" s="10">
        <v>3.8</v>
      </c>
      <c r="D4" s="10">
        <v>4.0999999999999996</v>
      </c>
      <c r="E4" s="10">
        <v>4.3</v>
      </c>
      <c r="F4" s="10">
        <v>4.2</v>
      </c>
      <c r="G4" s="10">
        <v>2.6</v>
      </c>
      <c r="H4" s="10">
        <v>2</v>
      </c>
      <c r="I4" s="10">
        <v>4.9000000000000004</v>
      </c>
      <c r="J4" s="18"/>
    </row>
    <row r="5" spans="1:10" ht="16.5" thickTop="1" thickBot="1" x14ac:dyDescent="0.3">
      <c r="A5" s="10" t="s">
        <v>16</v>
      </c>
      <c r="B5" s="10">
        <f>B4*B3</f>
        <v>0.43</v>
      </c>
      <c r="C5" s="10">
        <f t="shared" ref="C5:I5" si="0">C4*C3</f>
        <v>0.38</v>
      </c>
      <c r="D5" s="10">
        <f t="shared" si="0"/>
        <v>0.41</v>
      </c>
      <c r="E5" s="10">
        <f t="shared" si="0"/>
        <v>0.86</v>
      </c>
      <c r="F5" s="10">
        <f t="shared" si="0"/>
        <v>0.42000000000000004</v>
      </c>
      <c r="G5" s="10">
        <f t="shared" si="0"/>
        <v>0.26</v>
      </c>
      <c r="H5" s="10">
        <f t="shared" si="0"/>
        <v>0.2</v>
      </c>
      <c r="I5" s="10">
        <f t="shared" si="0"/>
        <v>0.98000000000000009</v>
      </c>
      <c r="J5" s="16">
        <f>SUM(B5:I5)</f>
        <v>3.94</v>
      </c>
    </row>
    <row r="6" spans="1:10" ht="16.5" thickTop="1" thickBot="1" x14ac:dyDescent="0.3">
      <c r="A6" s="12" t="s">
        <v>6</v>
      </c>
      <c r="B6" s="12">
        <v>2.2999999999999998</v>
      </c>
      <c r="C6" s="12">
        <v>3.7</v>
      </c>
      <c r="D6" s="12">
        <v>3.9</v>
      </c>
      <c r="E6" s="12">
        <v>3.6</v>
      </c>
      <c r="F6" s="12">
        <v>5</v>
      </c>
      <c r="G6" s="12">
        <v>4.5999999999999996</v>
      </c>
      <c r="H6" s="12">
        <v>4.2</v>
      </c>
      <c r="I6" s="12">
        <v>4.9000000000000004</v>
      </c>
      <c r="J6" s="18"/>
    </row>
    <row r="7" spans="1:10" ht="16.5" thickTop="1" thickBot="1" x14ac:dyDescent="0.3">
      <c r="A7" s="12" t="s">
        <v>16</v>
      </c>
      <c r="B7" s="12">
        <f>B6*B3</f>
        <v>0.22999999999999998</v>
      </c>
      <c r="C7" s="12">
        <f t="shared" ref="C7:I7" si="1">C6*C3</f>
        <v>0.37000000000000005</v>
      </c>
      <c r="D7" s="12">
        <f t="shared" si="1"/>
        <v>0.39</v>
      </c>
      <c r="E7" s="12">
        <f t="shared" si="1"/>
        <v>0.72000000000000008</v>
      </c>
      <c r="F7" s="12">
        <f t="shared" si="1"/>
        <v>0.5</v>
      </c>
      <c r="G7" s="12">
        <f t="shared" si="1"/>
        <v>0.45999999999999996</v>
      </c>
      <c r="H7" s="12">
        <f t="shared" si="1"/>
        <v>0.42000000000000004</v>
      </c>
      <c r="I7" s="12">
        <f>I6*I3</f>
        <v>0.98000000000000009</v>
      </c>
      <c r="J7" s="16">
        <f>SUM(B7:I7)</f>
        <v>4.07</v>
      </c>
    </row>
    <row r="8" spans="1:10" ht="16.5" thickTop="1" thickBot="1" x14ac:dyDescent="0.3">
      <c r="A8" s="10" t="s">
        <v>17</v>
      </c>
      <c r="B8" s="10">
        <v>3.2</v>
      </c>
      <c r="C8" s="10">
        <v>4.7</v>
      </c>
      <c r="D8" s="10">
        <v>4.2</v>
      </c>
      <c r="E8" s="10">
        <v>4.2</v>
      </c>
      <c r="F8" s="10">
        <v>0</v>
      </c>
      <c r="G8" s="10">
        <v>0</v>
      </c>
      <c r="H8" s="10">
        <v>4.5</v>
      </c>
      <c r="I8" s="10">
        <v>4.9000000000000004</v>
      </c>
      <c r="J8" s="18"/>
    </row>
    <row r="9" spans="1:10" ht="16.5" thickTop="1" thickBot="1" x14ac:dyDescent="0.3">
      <c r="A9" s="10" t="s">
        <v>16</v>
      </c>
      <c r="B9" s="10">
        <f>B8*B3</f>
        <v>0.32000000000000006</v>
      </c>
      <c r="C9" s="10">
        <f t="shared" ref="C9:I9" si="2">C8*C3</f>
        <v>0.47000000000000003</v>
      </c>
      <c r="D9" s="10">
        <f t="shared" si="2"/>
        <v>0.42000000000000004</v>
      </c>
      <c r="E9" s="10">
        <f t="shared" si="2"/>
        <v>0.84000000000000008</v>
      </c>
      <c r="F9" s="10">
        <f t="shared" si="2"/>
        <v>0</v>
      </c>
      <c r="G9" s="10">
        <f t="shared" si="2"/>
        <v>0</v>
      </c>
      <c r="H9" s="10">
        <f t="shared" si="2"/>
        <v>0.45</v>
      </c>
      <c r="I9" s="10">
        <f t="shared" si="2"/>
        <v>0.98000000000000009</v>
      </c>
      <c r="J9" s="16">
        <f>SUM(B9:I9)</f>
        <v>3.48</v>
      </c>
    </row>
    <row r="10" spans="1:10" ht="16.5" thickTop="1" thickBot="1" x14ac:dyDescent="0.3">
      <c r="A10" s="12" t="s">
        <v>5</v>
      </c>
      <c r="B10" s="12">
        <v>3.6</v>
      </c>
      <c r="C10" s="12">
        <v>2</v>
      </c>
      <c r="D10" s="12">
        <v>4.5</v>
      </c>
      <c r="E10" s="12">
        <v>4.2</v>
      </c>
      <c r="F10" s="12">
        <v>3.8</v>
      </c>
      <c r="G10" s="12">
        <v>4.5</v>
      </c>
      <c r="H10" s="12">
        <v>4.7</v>
      </c>
      <c r="I10" s="12">
        <v>3.5</v>
      </c>
      <c r="J10" s="18"/>
    </row>
    <row r="11" spans="1:10" ht="16.5" thickTop="1" thickBot="1" x14ac:dyDescent="0.3">
      <c r="A11" s="12" t="s">
        <v>16</v>
      </c>
      <c r="B11" s="12">
        <f>B10*B3</f>
        <v>0.36000000000000004</v>
      </c>
      <c r="C11" s="12">
        <f t="shared" ref="C11:H11" si="3">C10*C3</f>
        <v>0.2</v>
      </c>
      <c r="D11" s="12">
        <f t="shared" si="3"/>
        <v>0.45</v>
      </c>
      <c r="E11" s="12">
        <f t="shared" si="3"/>
        <v>0.84000000000000008</v>
      </c>
      <c r="F11" s="12">
        <f t="shared" si="3"/>
        <v>0.38</v>
      </c>
      <c r="G11" s="12">
        <f t="shared" si="3"/>
        <v>0.45</v>
      </c>
      <c r="H11" s="12">
        <f t="shared" si="3"/>
        <v>0.47000000000000003</v>
      </c>
      <c r="I11" s="12">
        <f>I10*I3</f>
        <v>0.70000000000000007</v>
      </c>
      <c r="J11" s="16">
        <f>SUM(B11:I11)</f>
        <v>3.8500000000000005</v>
      </c>
    </row>
    <row r="12" spans="1:10" ht="16.5" thickTop="1" thickBot="1" x14ac:dyDescent="0.3">
      <c r="A12" s="14" t="s">
        <v>4</v>
      </c>
      <c r="B12" s="10">
        <v>3</v>
      </c>
      <c r="C12" s="10">
        <v>2.5</v>
      </c>
      <c r="D12" s="10">
        <v>4.8</v>
      </c>
      <c r="E12" s="10">
        <v>3.5</v>
      </c>
      <c r="F12" s="10">
        <v>4.3</v>
      </c>
      <c r="G12" s="10">
        <v>3.4</v>
      </c>
      <c r="H12" s="10">
        <v>4</v>
      </c>
      <c r="I12" s="10">
        <v>5</v>
      </c>
      <c r="J12" s="18"/>
    </row>
    <row r="13" spans="1:10" ht="16.5" thickTop="1" thickBot="1" x14ac:dyDescent="0.3">
      <c r="A13" s="10" t="s">
        <v>16</v>
      </c>
      <c r="B13" s="10">
        <f>B12*B3</f>
        <v>0.30000000000000004</v>
      </c>
      <c r="C13" s="10">
        <f t="shared" ref="C13:I13" si="4">C12*C3</f>
        <v>0.25</v>
      </c>
      <c r="D13" s="10">
        <f t="shared" si="4"/>
        <v>0.48</v>
      </c>
      <c r="E13" s="10">
        <f t="shared" si="4"/>
        <v>0.70000000000000007</v>
      </c>
      <c r="F13" s="10">
        <f t="shared" si="4"/>
        <v>0.43</v>
      </c>
      <c r="G13" s="10">
        <f t="shared" si="4"/>
        <v>0.34</v>
      </c>
      <c r="H13" s="10">
        <f t="shared" si="4"/>
        <v>0.4</v>
      </c>
      <c r="I13" s="10">
        <f t="shared" si="4"/>
        <v>1</v>
      </c>
      <c r="J13" s="16">
        <f>SUM(B13:I13)</f>
        <v>3.9</v>
      </c>
    </row>
    <row r="14" spans="1:10" ht="16.5" thickTop="1" thickBot="1" x14ac:dyDescent="0.3">
      <c r="A14" s="12" t="s">
        <v>3</v>
      </c>
      <c r="B14" s="12">
        <v>5</v>
      </c>
      <c r="C14" s="12">
        <v>5</v>
      </c>
      <c r="D14" s="12">
        <v>5</v>
      </c>
      <c r="E14" s="12">
        <v>4</v>
      </c>
      <c r="F14" s="12">
        <v>5</v>
      </c>
      <c r="G14" s="12">
        <v>5</v>
      </c>
      <c r="H14" s="12">
        <v>5</v>
      </c>
      <c r="I14" s="12">
        <v>2</v>
      </c>
      <c r="J14" s="18"/>
    </row>
    <row r="15" spans="1:10" ht="16.5" thickTop="1" thickBot="1" x14ac:dyDescent="0.3">
      <c r="A15" s="12" t="s">
        <v>16</v>
      </c>
      <c r="B15" s="12">
        <f>B14*B3</f>
        <v>0.5</v>
      </c>
      <c r="C15" s="12">
        <f t="shared" ref="C15:I15" si="5">C14*C3</f>
        <v>0.5</v>
      </c>
      <c r="D15" s="12">
        <f t="shared" si="5"/>
        <v>0.5</v>
      </c>
      <c r="E15" s="12">
        <f t="shared" si="5"/>
        <v>0.8</v>
      </c>
      <c r="F15" s="12">
        <f t="shared" si="5"/>
        <v>0.5</v>
      </c>
      <c r="G15" s="12">
        <f t="shared" si="5"/>
        <v>0.5</v>
      </c>
      <c r="H15" s="12">
        <f t="shared" si="5"/>
        <v>0.5</v>
      </c>
      <c r="I15" s="12">
        <f t="shared" si="5"/>
        <v>0.4</v>
      </c>
      <c r="J15" s="16">
        <f>SUM(B15:I15)</f>
        <v>4.2</v>
      </c>
    </row>
    <row r="16" spans="1:10" ht="16.5" thickTop="1" thickBot="1" x14ac:dyDescent="0.3">
      <c r="A16" s="11" t="s">
        <v>2</v>
      </c>
      <c r="B16" s="10">
        <v>4.8</v>
      </c>
      <c r="C16" s="10">
        <v>1</v>
      </c>
      <c r="D16" s="10">
        <v>1</v>
      </c>
      <c r="E16" s="10">
        <v>5</v>
      </c>
      <c r="F16" s="10">
        <v>5</v>
      </c>
      <c r="G16" s="10">
        <v>5</v>
      </c>
      <c r="H16" s="10">
        <v>5</v>
      </c>
      <c r="I16" s="10">
        <v>4.9000000000000004</v>
      </c>
      <c r="J16" s="18"/>
    </row>
    <row r="17" spans="1:10" ht="15.75" thickTop="1" x14ac:dyDescent="0.25">
      <c r="A17" s="13" t="s">
        <v>16</v>
      </c>
      <c r="B17" s="13">
        <f>B16*B3</f>
        <v>0.48</v>
      </c>
      <c r="C17" s="13">
        <f t="shared" ref="C17:I17" si="6">C16*C3</f>
        <v>0.1</v>
      </c>
      <c r="D17" s="13">
        <f t="shared" si="6"/>
        <v>0.1</v>
      </c>
      <c r="E17" s="13">
        <f t="shared" si="6"/>
        <v>1</v>
      </c>
      <c r="F17" s="13">
        <f t="shared" si="6"/>
        <v>0.5</v>
      </c>
      <c r="G17" s="13">
        <f t="shared" si="6"/>
        <v>0.5</v>
      </c>
      <c r="H17" s="13">
        <f t="shared" si="6"/>
        <v>0.5</v>
      </c>
      <c r="I17" s="13">
        <f t="shared" si="6"/>
        <v>0.98000000000000009</v>
      </c>
      <c r="J17" s="16">
        <f>SUM(B17:I17)</f>
        <v>4.16</v>
      </c>
    </row>
    <row r="18" spans="1:10" x14ac:dyDescent="0.25">
      <c r="A18" s="17" t="s">
        <v>18</v>
      </c>
      <c r="B18" s="17"/>
      <c r="C18" s="17"/>
      <c r="D18" s="17"/>
      <c r="E18" s="17"/>
      <c r="F18" s="17"/>
      <c r="G18" s="17"/>
      <c r="H18" s="17"/>
      <c r="I18" s="17"/>
      <c r="J18" s="19">
        <f>AVERAGE(J5:J17)</f>
        <v>3.9428571428571426</v>
      </c>
    </row>
    <row r="1048576" spans="10:10" x14ac:dyDescent="0.25">
      <c r="J1048576" s="16"/>
    </row>
  </sheetData>
  <mergeCells count="3">
    <mergeCell ref="B1:E1"/>
    <mergeCell ref="F1:I1"/>
    <mergeCell ref="A18:I18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sugarrrigi@hotmail.com</dc:creator>
  <cp:lastModifiedBy>sugarrrigi@hotmail.com</cp:lastModifiedBy>
  <dcterms:created xsi:type="dcterms:W3CDTF">2024-12-02T05:33:29Z</dcterms:created>
  <dcterms:modified xsi:type="dcterms:W3CDTF">2024-12-02T06:02:32Z</dcterms:modified>
</cp:coreProperties>
</file>